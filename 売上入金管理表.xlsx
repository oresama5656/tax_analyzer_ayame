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Y\Desktop\aizawa_git\Tax_Analyzer\"/>
    </mc:Choice>
  </mc:AlternateContent>
  <xr:revisionPtr revIDLastSave="0" documentId="13_ncr:1_{05512F87-8D59-4CC3-A672-C4A194DD782D}" xr6:coauthVersionLast="47" xr6:coauthVersionMax="47" xr10:uidLastSave="{00000000-0000-0000-0000-000000000000}"/>
  <bookViews>
    <workbookView xWindow="-795" yWindow="135" windowWidth="18525" windowHeight="15105" xr2:uid="{F08BCC49-435B-4553-A559-10B6DAA33F99}"/>
  </bookViews>
  <sheets>
    <sheet name="売上入金管理表 - コピー" sheetId="1" r:id="rId1"/>
    <sheet name="売上入金管理表 - コピー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2" l="1"/>
  <c r="T32" i="2"/>
  <c r="S32" i="2"/>
  <c r="V32" i="2" s="1"/>
  <c r="W32" i="2" s="1"/>
  <c r="U31" i="2"/>
  <c r="T31" i="2"/>
  <c r="S31" i="2"/>
  <c r="V31" i="2" s="1"/>
  <c r="W31" i="2" s="1"/>
  <c r="V30" i="2"/>
  <c r="W30" i="2" s="1"/>
  <c r="U30" i="2"/>
  <c r="T30" i="2"/>
  <c r="S30" i="2"/>
  <c r="V29" i="2"/>
  <c r="W29" i="2" s="1"/>
  <c r="U29" i="2"/>
  <c r="T29" i="2"/>
  <c r="S29" i="2"/>
  <c r="U28" i="2"/>
  <c r="T28" i="2"/>
  <c r="V28" i="2" s="1"/>
  <c r="W28" i="2" s="1"/>
  <c r="S28" i="2"/>
  <c r="U27" i="2"/>
  <c r="T27" i="2"/>
  <c r="V27" i="2" s="1"/>
  <c r="W27" i="2" s="1"/>
  <c r="S27" i="2"/>
  <c r="U26" i="2"/>
  <c r="T26" i="2"/>
  <c r="S26" i="2"/>
  <c r="V26" i="2" s="1"/>
  <c r="W26" i="2" s="1"/>
  <c r="U25" i="2"/>
  <c r="T25" i="2"/>
  <c r="S25" i="2"/>
  <c r="V25" i="2" s="1"/>
  <c r="W25" i="2" s="1"/>
  <c r="U24" i="2"/>
  <c r="T24" i="2"/>
  <c r="S24" i="2"/>
  <c r="V24" i="2" s="1"/>
  <c r="W24" i="2" s="1"/>
  <c r="U23" i="2"/>
  <c r="V23" i="2" s="1"/>
  <c r="W23" i="2" s="1"/>
  <c r="T23" i="2"/>
  <c r="S23" i="2"/>
  <c r="U22" i="2"/>
  <c r="V22" i="2" s="1"/>
  <c r="W22" i="2" s="1"/>
  <c r="T22" i="2"/>
  <c r="S22" i="2"/>
  <c r="U21" i="2"/>
  <c r="T21" i="2"/>
  <c r="S21" i="2"/>
  <c r="V21" i="2" s="1"/>
  <c r="W21" i="2" s="1"/>
  <c r="U20" i="2"/>
  <c r="T20" i="2"/>
  <c r="S20" i="2"/>
  <c r="V20" i="2" s="1"/>
  <c r="W20" i="2" s="1"/>
  <c r="U19" i="2"/>
  <c r="T19" i="2"/>
  <c r="S19" i="2"/>
  <c r="V19" i="2" s="1"/>
  <c r="W19" i="2" s="1"/>
  <c r="V18" i="2"/>
  <c r="W18" i="2" s="1"/>
  <c r="U18" i="2"/>
  <c r="T18" i="2"/>
  <c r="S18" i="2"/>
  <c r="V17" i="2"/>
  <c r="W17" i="2" s="1"/>
  <c r="U17" i="2"/>
  <c r="T17" i="2"/>
  <c r="S17" i="2"/>
  <c r="U16" i="2"/>
  <c r="T16" i="2"/>
  <c r="V16" i="2" s="1"/>
  <c r="W16" i="2" s="1"/>
  <c r="S16" i="2"/>
  <c r="U15" i="2"/>
  <c r="T15" i="2"/>
  <c r="V15" i="2" s="1"/>
  <c r="W15" i="2" s="1"/>
  <c r="S15" i="2"/>
  <c r="U14" i="2"/>
  <c r="T14" i="2"/>
  <c r="S14" i="2"/>
  <c r="V14" i="2" s="1"/>
  <c r="W14" i="2" s="1"/>
  <c r="U13" i="2"/>
  <c r="T13" i="2"/>
  <c r="S13" i="2"/>
  <c r="V13" i="2" s="1"/>
  <c r="W13" i="2" s="1"/>
  <c r="U12" i="2"/>
  <c r="T12" i="2"/>
  <c r="S12" i="2"/>
  <c r="V12" i="2" s="1"/>
  <c r="W12" i="2" s="1"/>
  <c r="U11" i="2"/>
  <c r="V11" i="2" s="1"/>
  <c r="W11" i="2" s="1"/>
  <c r="T11" i="2"/>
  <c r="S11" i="2"/>
  <c r="U10" i="2"/>
  <c r="V10" i="2" s="1"/>
  <c r="W10" i="2" s="1"/>
  <c r="T10" i="2"/>
  <c r="S10" i="2"/>
  <c r="U9" i="2"/>
  <c r="T9" i="2"/>
  <c r="S9" i="2"/>
  <c r="V9" i="2" s="1"/>
  <c r="W9" i="2" s="1"/>
  <c r="U8" i="2"/>
  <c r="T8" i="2"/>
  <c r="S8" i="2"/>
  <c r="V8" i="2" s="1"/>
  <c r="W8" i="2" s="1"/>
  <c r="U7" i="2"/>
  <c r="T7" i="2"/>
  <c r="S7" i="2"/>
  <c r="V7" i="2" s="1"/>
  <c r="W7" i="2" s="1"/>
  <c r="V6" i="2"/>
  <c r="W6" i="2" s="1"/>
  <c r="U6" i="2"/>
  <c r="T6" i="2"/>
  <c r="S6" i="2"/>
  <c r="V5" i="2"/>
  <c r="W5" i="2" s="1"/>
  <c r="U5" i="2"/>
  <c r="T5" i="2"/>
  <c r="S5" i="2"/>
  <c r="U4" i="2"/>
  <c r="T4" i="2"/>
  <c r="V4" i="2" s="1"/>
  <c r="W4" i="2" s="1"/>
  <c r="S4" i="2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4" i="1"/>
  <c r="S5" i="1"/>
</calcChain>
</file>

<file path=xl/sharedStrings.xml><?xml version="1.0" encoding="utf-8"?>
<sst xmlns="http://schemas.openxmlformats.org/spreadsheetml/2006/main" count="106" uniqueCount="31">
  <si>
    <t>■売上入金管理表</t>
  </si>
  <si>
    <t>作成日時：2026/02/27 16:48</t>
  </si>
  <si>
    <t>店舗 ： あやめ薬局　　　　　集計年月 : 2026年02月</t>
  </si>
  <si>
    <t>日</t>
  </si>
  <si>
    <t>曜</t>
  </si>
  <si>
    <t>処方枚数</t>
  </si>
  <si>
    <t xml:space="preserve">【売上】調剤負担金      </t>
  </si>
  <si>
    <t>調剤負担金（自費</t>
  </si>
  <si>
    <t>医薬品</t>
  </si>
  <si>
    <t>医療機器</t>
  </si>
  <si>
    <t xml:space="preserve">雑貨・化粧品    </t>
  </si>
  <si>
    <t xml:space="preserve">菓子・食料品    </t>
  </si>
  <si>
    <t>容器代</t>
  </si>
  <si>
    <t>レジ袋</t>
  </si>
  <si>
    <t>◆合計金額◆</t>
  </si>
  <si>
    <t>【入金】現金</t>
  </si>
  <si>
    <t xml:space="preserve">クレジット      </t>
  </si>
  <si>
    <t xml:space="preserve">QRｺｰﾄﾞ決済      </t>
  </si>
  <si>
    <t>未収金</t>
  </si>
  <si>
    <t>達成率</t>
  </si>
  <si>
    <t>月</t>
  </si>
  <si>
    <t>火</t>
  </si>
  <si>
    <t>水</t>
  </si>
  <si>
    <t>木</t>
  </si>
  <si>
    <t>金</t>
  </si>
  <si>
    <t>土</t>
  </si>
  <si>
    <t>合計</t>
  </si>
  <si>
    <t>8%売上</t>
    <rPh sb="2" eb="4">
      <t>ウリアゲ</t>
    </rPh>
    <phoneticPr fontId="18"/>
  </si>
  <si>
    <t>10%売上</t>
    <rPh sb="3" eb="5">
      <t>ウリアゲ</t>
    </rPh>
    <phoneticPr fontId="18"/>
  </si>
  <si>
    <t>確認用</t>
    <rPh sb="0" eb="3">
      <t>カクニンヨウ</t>
    </rPh>
    <phoneticPr fontId="18"/>
  </si>
  <si>
    <t>調剤売上</t>
    <rPh sb="0" eb="2">
      <t>チョウザイ</t>
    </rPh>
    <rPh sb="2" eb="4">
      <t>ウリアゲ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</si>
</sst>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9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F587-D2D1-4D69-906C-B945A7F447A6}">
  <dimension ref="A1:U32"/>
  <sheetViews>
    <sheetView tabSelected="1" topLeftCell="D1" zoomScale="70" zoomScaleNormal="70" workbookViewId="0">
      <selection activeCell="S3" sqref="S3"/>
    </sheetView>
  </sheetViews>
  <sheetFormatPr defaultRowHeight="18.75" x14ac:dyDescent="0.4"/>
  <cols>
    <col min="1" max="1" width="4.625" customWidth="1"/>
    <col min="2" max="2" width="5.25" bestFit="1" customWidth="1"/>
    <col min="4" max="4" width="22.625" bestFit="1" customWidth="1"/>
    <col min="5" max="5" width="17.25" bestFit="1" customWidth="1"/>
    <col min="6" max="6" width="27.5" bestFit="1" customWidth="1"/>
    <col min="8" max="9" width="15.25" bestFit="1" customWidth="1"/>
    <col min="10" max="11" width="7.125" bestFit="1" customWidth="1"/>
    <col min="12" max="13" width="13" bestFit="1" customWidth="1"/>
    <col min="14" max="14" width="14.25" bestFit="1" customWidth="1"/>
    <col min="15" max="15" width="15.375" bestFit="1" customWidth="1"/>
    <col min="16" max="16" width="7.125" bestFit="1" customWidth="1"/>
    <col min="17" max="17" width="13" bestFit="1" customWidth="1"/>
    <col min="18" max="18" width="7.125" bestFit="1" customWidth="1"/>
    <col min="19" max="20" width="9.125" bestFit="1" customWidth="1"/>
  </cols>
  <sheetData>
    <row r="1" spans="1:21" x14ac:dyDescent="0.4">
      <c r="A1" t="s">
        <v>0</v>
      </c>
      <c r="F1" t="s">
        <v>1</v>
      </c>
    </row>
    <row r="2" spans="1:21" x14ac:dyDescent="0.4">
      <c r="A2" t="s">
        <v>2</v>
      </c>
    </row>
    <row r="3" spans="1:21" x14ac:dyDescent="0.4">
      <c r="A3" t="s">
        <v>3</v>
      </c>
      <c r="B3" t="s">
        <v>4</v>
      </c>
      <c r="C3" t="s">
        <v>5</v>
      </c>
      <c r="D3" t="s">
        <v>6</v>
      </c>
      <c r="E3" t="s">
        <v>7</v>
      </c>
      <c r="F3" s="3" t="s">
        <v>8</v>
      </c>
      <c r="G3" s="3" t="s">
        <v>9</v>
      </c>
      <c r="H3" s="3" t="s">
        <v>10</v>
      </c>
      <c r="I3" s="2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14</v>
      </c>
      <c r="R3" t="s">
        <v>19</v>
      </c>
      <c r="S3" t="s">
        <v>27</v>
      </c>
      <c r="T3" t="s">
        <v>28</v>
      </c>
    </row>
    <row r="4" spans="1:21" x14ac:dyDescent="0.4">
      <c r="A4">
        <v>1</v>
      </c>
      <c r="B4" t="s">
        <v>3</v>
      </c>
      <c r="C4">
        <v>55</v>
      </c>
      <c r="D4">
        <v>77020</v>
      </c>
      <c r="E4">
        <v>0</v>
      </c>
      <c r="F4">
        <v>0</v>
      </c>
      <c r="G4">
        <v>0</v>
      </c>
      <c r="H4">
        <v>0</v>
      </c>
      <c r="I4">
        <v>0</v>
      </c>
      <c r="J4">
        <v>50</v>
      </c>
      <c r="K4">
        <v>0</v>
      </c>
      <c r="L4">
        <v>77070</v>
      </c>
      <c r="M4">
        <v>51550</v>
      </c>
      <c r="N4">
        <v>25520</v>
      </c>
      <c r="O4">
        <v>0</v>
      </c>
      <c r="P4">
        <v>0</v>
      </c>
      <c r="Q4">
        <v>77070</v>
      </c>
      <c r="S4" s="1">
        <f>I4</f>
        <v>0</v>
      </c>
      <c r="T4" s="1">
        <f>F4+G4+H4</f>
        <v>0</v>
      </c>
    </row>
    <row r="5" spans="1:21" x14ac:dyDescent="0.4">
      <c r="A5">
        <v>2</v>
      </c>
      <c r="B5" t="s">
        <v>20</v>
      </c>
      <c r="C5">
        <v>90</v>
      </c>
      <c r="D5">
        <v>75760</v>
      </c>
      <c r="E5">
        <v>33</v>
      </c>
      <c r="F5">
        <v>0</v>
      </c>
      <c r="G5">
        <v>0</v>
      </c>
      <c r="H5">
        <v>0</v>
      </c>
      <c r="I5">
        <v>700</v>
      </c>
      <c r="J5">
        <v>290</v>
      </c>
      <c r="K5">
        <v>5</v>
      </c>
      <c r="L5">
        <v>76788</v>
      </c>
      <c r="M5">
        <v>63228</v>
      </c>
      <c r="N5">
        <v>13560</v>
      </c>
      <c r="O5">
        <v>0</v>
      </c>
      <c r="P5">
        <v>0</v>
      </c>
      <c r="Q5">
        <v>76788</v>
      </c>
      <c r="S5" s="1">
        <f>I5</f>
        <v>700</v>
      </c>
      <c r="T5" s="1">
        <f t="shared" ref="T5:T32" si="0">F5+G5+H5</f>
        <v>0</v>
      </c>
      <c r="U5" s="1"/>
    </row>
    <row r="6" spans="1:21" x14ac:dyDescent="0.4">
      <c r="A6">
        <v>3</v>
      </c>
      <c r="B6" t="s">
        <v>21</v>
      </c>
      <c r="C6">
        <v>3</v>
      </c>
      <c r="D6">
        <v>3790</v>
      </c>
      <c r="E6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3823</v>
      </c>
      <c r="M6">
        <v>430</v>
      </c>
      <c r="N6">
        <v>2390</v>
      </c>
      <c r="O6">
        <v>0</v>
      </c>
      <c r="P6">
        <v>1003</v>
      </c>
      <c r="Q6">
        <v>3823</v>
      </c>
      <c r="S6" s="1">
        <f t="shared" ref="S6:S32" si="1">I6</f>
        <v>0</v>
      </c>
      <c r="T6" s="1">
        <f t="shared" si="0"/>
        <v>0</v>
      </c>
    </row>
    <row r="7" spans="1:21" x14ac:dyDescent="0.4">
      <c r="A7">
        <v>4</v>
      </c>
      <c r="B7" t="s">
        <v>22</v>
      </c>
      <c r="C7">
        <v>77</v>
      </c>
      <c r="D7">
        <v>82170</v>
      </c>
      <c r="E7">
        <v>352</v>
      </c>
      <c r="F7">
        <v>0</v>
      </c>
      <c r="G7">
        <v>0</v>
      </c>
      <c r="H7">
        <v>0</v>
      </c>
      <c r="I7">
        <v>0</v>
      </c>
      <c r="J7">
        <v>760</v>
      </c>
      <c r="K7">
        <v>5</v>
      </c>
      <c r="L7">
        <v>83287</v>
      </c>
      <c r="M7">
        <v>61537</v>
      </c>
      <c r="N7">
        <v>17740</v>
      </c>
      <c r="O7">
        <v>0</v>
      </c>
      <c r="P7">
        <v>4010</v>
      </c>
      <c r="Q7">
        <v>83287</v>
      </c>
      <c r="S7" s="1">
        <f t="shared" si="1"/>
        <v>0</v>
      </c>
      <c r="T7" s="1">
        <f t="shared" si="0"/>
        <v>0</v>
      </c>
    </row>
    <row r="8" spans="1:21" x14ac:dyDescent="0.4">
      <c r="A8">
        <v>5</v>
      </c>
      <c r="B8" t="s">
        <v>23</v>
      </c>
      <c r="C8">
        <v>69</v>
      </c>
      <c r="D8">
        <v>69640</v>
      </c>
      <c r="E8">
        <v>77</v>
      </c>
      <c r="F8">
        <v>700</v>
      </c>
      <c r="G8">
        <v>0</v>
      </c>
      <c r="H8">
        <v>0</v>
      </c>
      <c r="I8">
        <v>0</v>
      </c>
      <c r="J8">
        <v>630</v>
      </c>
      <c r="K8">
        <v>10</v>
      </c>
      <c r="L8">
        <v>71057</v>
      </c>
      <c r="M8">
        <v>57955</v>
      </c>
      <c r="N8">
        <v>6360</v>
      </c>
      <c r="O8">
        <v>0</v>
      </c>
      <c r="P8">
        <v>6742</v>
      </c>
      <c r="Q8">
        <v>71057</v>
      </c>
      <c r="S8" s="1">
        <f t="shared" si="1"/>
        <v>0</v>
      </c>
      <c r="T8" s="1">
        <f t="shared" si="0"/>
        <v>700</v>
      </c>
    </row>
    <row r="9" spans="1:21" x14ac:dyDescent="0.4">
      <c r="A9">
        <v>6</v>
      </c>
      <c r="B9" t="s">
        <v>24</v>
      </c>
      <c r="C9">
        <v>59</v>
      </c>
      <c r="D9">
        <v>70518</v>
      </c>
      <c r="E9">
        <v>715</v>
      </c>
      <c r="F9">
        <v>0</v>
      </c>
      <c r="G9">
        <v>0</v>
      </c>
      <c r="H9">
        <v>1500</v>
      </c>
      <c r="I9">
        <v>0</v>
      </c>
      <c r="J9">
        <v>340</v>
      </c>
      <c r="K9">
        <v>0</v>
      </c>
      <c r="L9">
        <v>73073</v>
      </c>
      <c r="M9">
        <v>47991</v>
      </c>
      <c r="N9">
        <v>21822</v>
      </c>
      <c r="O9">
        <v>0</v>
      </c>
      <c r="P9">
        <v>3260</v>
      </c>
      <c r="Q9">
        <v>73073</v>
      </c>
      <c r="S9" s="1">
        <f t="shared" si="1"/>
        <v>0</v>
      </c>
      <c r="T9" s="1">
        <f t="shared" si="0"/>
        <v>1500</v>
      </c>
    </row>
    <row r="10" spans="1:21" x14ac:dyDescent="0.4">
      <c r="A10">
        <v>7</v>
      </c>
      <c r="B10" t="s">
        <v>25</v>
      </c>
      <c r="C10">
        <v>77</v>
      </c>
      <c r="D10">
        <v>99740</v>
      </c>
      <c r="E10">
        <v>7280</v>
      </c>
      <c r="F10">
        <v>0</v>
      </c>
      <c r="G10">
        <v>0</v>
      </c>
      <c r="H10">
        <v>0</v>
      </c>
      <c r="I10">
        <v>0</v>
      </c>
      <c r="J10">
        <v>400</v>
      </c>
      <c r="K10">
        <v>10</v>
      </c>
      <c r="L10">
        <v>107430</v>
      </c>
      <c r="M10">
        <v>76080</v>
      </c>
      <c r="N10">
        <v>31350</v>
      </c>
      <c r="O10">
        <v>0</v>
      </c>
      <c r="P10">
        <v>0</v>
      </c>
      <c r="Q10">
        <v>107430</v>
      </c>
      <c r="S10" s="1">
        <f t="shared" si="1"/>
        <v>0</v>
      </c>
      <c r="T10" s="1">
        <f t="shared" si="0"/>
        <v>0</v>
      </c>
    </row>
    <row r="11" spans="1:21" x14ac:dyDescent="0.4">
      <c r="A11">
        <v>8</v>
      </c>
      <c r="B11" t="s">
        <v>3</v>
      </c>
      <c r="C11">
        <v>37</v>
      </c>
      <c r="D11">
        <v>47650</v>
      </c>
      <c r="E11">
        <v>10603</v>
      </c>
      <c r="F11">
        <v>50000</v>
      </c>
      <c r="G11">
        <v>0</v>
      </c>
      <c r="H11">
        <v>0</v>
      </c>
      <c r="I11">
        <v>0</v>
      </c>
      <c r="J11">
        <v>130</v>
      </c>
      <c r="K11">
        <v>5</v>
      </c>
      <c r="L11">
        <v>108388</v>
      </c>
      <c r="M11">
        <v>40098</v>
      </c>
      <c r="N11">
        <v>68290</v>
      </c>
      <c r="O11">
        <v>0</v>
      </c>
      <c r="P11">
        <v>0</v>
      </c>
      <c r="Q11">
        <v>108388</v>
      </c>
      <c r="S11" s="1">
        <f t="shared" si="1"/>
        <v>0</v>
      </c>
      <c r="T11" s="1">
        <f t="shared" si="0"/>
        <v>50000</v>
      </c>
    </row>
    <row r="12" spans="1:21" x14ac:dyDescent="0.4">
      <c r="A12">
        <v>9</v>
      </c>
      <c r="B12" t="s">
        <v>20</v>
      </c>
      <c r="C12">
        <v>59</v>
      </c>
      <c r="D12">
        <v>50814</v>
      </c>
      <c r="E12">
        <v>1177</v>
      </c>
      <c r="F12">
        <v>297</v>
      </c>
      <c r="G12">
        <v>0</v>
      </c>
      <c r="H12">
        <v>0</v>
      </c>
      <c r="I12">
        <v>680</v>
      </c>
      <c r="J12">
        <v>680</v>
      </c>
      <c r="K12">
        <v>5</v>
      </c>
      <c r="L12">
        <v>53653</v>
      </c>
      <c r="M12">
        <v>44370</v>
      </c>
      <c r="N12">
        <v>7810</v>
      </c>
      <c r="O12">
        <v>0</v>
      </c>
      <c r="P12">
        <v>1473</v>
      </c>
      <c r="Q12">
        <v>53653</v>
      </c>
      <c r="S12" s="1">
        <f t="shared" si="1"/>
        <v>680</v>
      </c>
      <c r="T12" s="1">
        <f t="shared" si="0"/>
        <v>297</v>
      </c>
    </row>
    <row r="13" spans="1:21" x14ac:dyDescent="0.4">
      <c r="A13">
        <v>10</v>
      </c>
      <c r="B13" t="s">
        <v>21</v>
      </c>
      <c r="C13">
        <v>5</v>
      </c>
      <c r="D13">
        <v>11240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11245</v>
      </c>
      <c r="M13">
        <v>3545</v>
      </c>
      <c r="N13">
        <v>0</v>
      </c>
      <c r="O13">
        <v>0</v>
      </c>
      <c r="P13">
        <v>7700</v>
      </c>
      <c r="Q13">
        <v>11245</v>
      </c>
      <c r="S13" s="1">
        <f t="shared" si="1"/>
        <v>0</v>
      </c>
      <c r="T13" s="1">
        <f t="shared" si="0"/>
        <v>0</v>
      </c>
    </row>
    <row r="14" spans="1:21" x14ac:dyDescent="0.4">
      <c r="A14">
        <v>11</v>
      </c>
      <c r="B14" t="s">
        <v>22</v>
      </c>
      <c r="S14" s="1">
        <f t="shared" si="1"/>
        <v>0</v>
      </c>
      <c r="T14" s="1">
        <f t="shared" si="0"/>
        <v>0</v>
      </c>
    </row>
    <row r="15" spans="1:21" x14ac:dyDescent="0.4">
      <c r="A15">
        <v>12</v>
      </c>
      <c r="B15" t="s">
        <v>23</v>
      </c>
      <c r="C15">
        <v>84</v>
      </c>
      <c r="D15">
        <v>103640</v>
      </c>
      <c r="E15">
        <v>8131</v>
      </c>
      <c r="F15">
        <v>0</v>
      </c>
      <c r="G15">
        <v>0</v>
      </c>
      <c r="H15">
        <v>0</v>
      </c>
      <c r="I15">
        <v>950</v>
      </c>
      <c r="J15">
        <v>450</v>
      </c>
      <c r="K15">
        <v>0</v>
      </c>
      <c r="L15">
        <v>113171</v>
      </c>
      <c r="M15">
        <v>90651</v>
      </c>
      <c r="N15">
        <v>22520</v>
      </c>
      <c r="O15">
        <v>0</v>
      </c>
      <c r="P15">
        <v>0</v>
      </c>
      <c r="Q15">
        <v>113171</v>
      </c>
      <c r="S15" s="1">
        <f t="shared" si="1"/>
        <v>950</v>
      </c>
      <c r="T15" s="1">
        <f t="shared" si="0"/>
        <v>0</v>
      </c>
    </row>
    <row r="16" spans="1:21" x14ac:dyDescent="0.4">
      <c r="A16">
        <v>13</v>
      </c>
      <c r="B16" t="s">
        <v>24</v>
      </c>
      <c r="C16">
        <v>46</v>
      </c>
      <c r="D16">
        <v>55930</v>
      </c>
      <c r="E16">
        <v>110</v>
      </c>
      <c r="F16">
        <v>400</v>
      </c>
      <c r="G16">
        <v>0</v>
      </c>
      <c r="H16">
        <v>1500</v>
      </c>
      <c r="I16">
        <v>700</v>
      </c>
      <c r="J16">
        <v>100</v>
      </c>
      <c r="K16">
        <v>5</v>
      </c>
      <c r="L16">
        <v>58745</v>
      </c>
      <c r="M16">
        <v>58345</v>
      </c>
      <c r="N16">
        <v>400</v>
      </c>
      <c r="O16">
        <v>0</v>
      </c>
      <c r="P16">
        <v>0</v>
      </c>
      <c r="Q16">
        <v>58745</v>
      </c>
      <c r="S16" s="1">
        <f t="shared" si="1"/>
        <v>700</v>
      </c>
      <c r="T16" s="1">
        <f t="shared" si="0"/>
        <v>1900</v>
      </c>
    </row>
    <row r="17" spans="1:20" x14ac:dyDescent="0.4">
      <c r="A17">
        <v>14</v>
      </c>
      <c r="B17" t="s">
        <v>25</v>
      </c>
      <c r="C17">
        <v>72</v>
      </c>
      <c r="D17">
        <v>95970</v>
      </c>
      <c r="E17">
        <v>3189</v>
      </c>
      <c r="F17">
        <v>700</v>
      </c>
      <c r="G17">
        <v>0</v>
      </c>
      <c r="H17">
        <v>0</v>
      </c>
      <c r="I17">
        <v>0</v>
      </c>
      <c r="J17">
        <v>1450</v>
      </c>
      <c r="K17">
        <v>15</v>
      </c>
      <c r="L17">
        <v>101324</v>
      </c>
      <c r="M17">
        <v>71594</v>
      </c>
      <c r="N17">
        <v>29730</v>
      </c>
      <c r="O17">
        <v>0</v>
      </c>
      <c r="P17">
        <v>0</v>
      </c>
      <c r="Q17">
        <v>101324</v>
      </c>
      <c r="S17" s="1">
        <f t="shared" si="1"/>
        <v>0</v>
      </c>
      <c r="T17" s="1">
        <f t="shared" si="0"/>
        <v>700</v>
      </c>
    </row>
    <row r="18" spans="1:20" x14ac:dyDescent="0.4">
      <c r="A18">
        <v>15</v>
      </c>
      <c r="B18" t="s">
        <v>3</v>
      </c>
      <c r="C18">
        <v>48</v>
      </c>
      <c r="D18">
        <v>64790</v>
      </c>
      <c r="E18">
        <v>8691</v>
      </c>
      <c r="F18">
        <v>50000</v>
      </c>
      <c r="G18">
        <v>0</v>
      </c>
      <c r="H18">
        <v>0</v>
      </c>
      <c r="I18">
        <v>400</v>
      </c>
      <c r="J18">
        <v>90</v>
      </c>
      <c r="K18">
        <v>5</v>
      </c>
      <c r="L18">
        <v>123976</v>
      </c>
      <c r="M18">
        <v>43176</v>
      </c>
      <c r="N18">
        <v>80800</v>
      </c>
      <c r="O18">
        <v>0</v>
      </c>
      <c r="P18">
        <v>0</v>
      </c>
      <c r="Q18">
        <v>123976</v>
      </c>
      <c r="S18" s="1">
        <f t="shared" si="1"/>
        <v>400</v>
      </c>
      <c r="T18" s="1">
        <f t="shared" si="0"/>
        <v>50000</v>
      </c>
    </row>
    <row r="19" spans="1:20" x14ac:dyDescent="0.4">
      <c r="A19">
        <v>16</v>
      </c>
      <c r="B19" t="s">
        <v>20</v>
      </c>
      <c r="C19">
        <v>75</v>
      </c>
      <c r="D19">
        <v>68120</v>
      </c>
      <c r="E19">
        <v>461</v>
      </c>
      <c r="F19">
        <v>0</v>
      </c>
      <c r="G19">
        <v>300</v>
      </c>
      <c r="H19">
        <v>0</v>
      </c>
      <c r="I19">
        <v>1130</v>
      </c>
      <c r="J19">
        <v>550</v>
      </c>
      <c r="K19">
        <v>0</v>
      </c>
      <c r="L19">
        <v>70561</v>
      </c>
      <c r="M19">
        <v>44081</v>
      </c>
      <c r="N19">
        <v>21910</v>
      </c>
      <c r="O19">
        <v>0</v>
      </c>
      <c r="P19">
        <v>4570</v>
      </c>
      <c r="Q19">
        <v>70561</v>
      </c>
      <c r="S19" s="1">
        <f t="shared" si="1"/>
        <v>1130</v>
      </c>
      <c r="T19" s="1">
        <f t="shared" si="0"/>
        <v>300</v>
      </c>
    </row>
    <row r="20" spans="1:20" x14ac:dyDescent="0.4">
      <c r="A20">
        <v>17</v>
      </c>
      <c r="B20" t="s">
        <v>21</v>
      </c>
      <c r="C20">
        <v>4</v>
      </c>
      <c r="D20">
        <v>10230</v>
      </c>
      <c r="E20">
        <v>0</v>
      </c>
      <c r="F20">
        <v>1207</v>
      </c>
      <c r="G20">
        <v>0</v>
      </c>
      <c r="H20">
        <v>0</v>
      </c>
      <c r="I20">
        <v>0</v>
      </c>
      <c r="J20">
        <v>0</v>
      </c>
      <c r="K20">
        <v>0</v>
      </c>
      <c r="L20">
        <v>11437</v>
      </c>
      <c r="M20">
        <v>2237</v>
      </c>
      <c r="N20">
        <v>1610</v>
      </c>
      <c r="O20">
        <v>0</v>
      </c>
      <c r="P20">
        <v>7590</v>
      </c>
      <c r="Q20">
        <v>11437</v>
      </c>
      <c r="S20" s="1">
        <f t="shared" si="1"/>
        <v>0</v>
      </c>
      <c r="T20" s="1">
        <f t="shared" si="0"/>
        <v>1207</v>
      </c>
    </row>
    <row r="21" spans="1:20" x14ac:dyDescent="0.4">
      <c r="A21">
        <v>18</v>
      </c>
      <c r="B21" t="s">
        <v>22</v>
      </c>
      <c r="C21">
        <v>42</v>
      </c>
      <c r="D21">
        <v>63760</v>
      </c>
      <c r="E21">
        <v>-9449</v>
      </c>
      <c r="F21">
        <v>2200</v>
      </c>
      <c r="G21">
        <v>0</v>
      </c>
      <c r="H21">
        <v>1500</v>
      </c>
      <c r="I21">
        <v>980</v>
      </c>
      <c r="J21">
        <v>90</v>
      </c>
      <c r="K21">
        <v>0</v>
      </c>
      <c r="L21">
        <v>59081</v>
      </c>
      <c r="M21">
        <v>41081</v>
      </c>
      <c r="N21">
        <v>12840</v>
      </c>
      <c r="O21">
        <v>0</v>
      </c>
      <c r="P21">
        <v>5160</v>
      </c>
      <c r="Q21">
        <v>59081</v>
      </c>
      <c r="S21" s="1">
        <f t="shared" si="1"/>
        <v>980</v>
      </c>
      <c r="T21" s="1">
        <f t="shared" si="0"/>
        <v>3700</v>
      </c>
    </row>
    <row r="22" spans="1:20" x14ac:dyDescent="0.4">
      <c r="A22">
        <v>19</v>
      </c>
      <c r="B22" t="s">
        <v>23</v>
      </c>
      <c r="C22">
        <v>43</v>
      </c>
      <c r="D22">
        <v>64290</v>
      </c>
      <c r="E22">
        <v>-2629</v>
      </c>
      <c r="F22">
        <v>0</v>
      </c>
      <c r="G22">
        <v>0</v>
      </c>
      <c r="H22">
        <v>0</v>
      </c>
      <c r="I22">
        <v>0</v>
      </c>
      <c r="J22">
        <v>230</v>
      </c>
      <c r="K22">
        <v>5</v>
      </c>
      <c r="L22">
        <v>61896</v>
      </c>
      <c r="M22">
        <v>32946</v>
      </c>
      <c r="N22">
        <v>27880</v>
      </c>
      <c r="O22">
        <v>0</v>
      </c>
      <c r="P22">
        <v>1070</v>
      </c>
      <c r="Q22">
        <v>61896</v>
      </c>
      <c r="S22" s="1">
        <f t="shared" si="1"/>
        <v>0</v>
      </c>
      <c r="T22" s="1">
        <f t="shared" si="0"/>
        <v>0</v>
      </c>
    </row>
    <row r="23" spans="1:20" x14ac:dyDescent="0.4">
      <c r="A23">
        <v>20</v>
      </c>
      <c r="B23" t="s">
        <v>24</v>
      </c>
      <c r="C23">
        <v>48</v>
      </c>
      <c r="D23">
        <v>51600</v>
      </c>
      <c r="E23">
        <v>11</v>
      </c>
      <c r="F23">
        <v>600</v>
      </c>
      <c r="G23">
        <v>0</v>
      </c>
      <c r="H23">
        <v>0</v>
      </c>
      <c r="I23">
        <v>600</v>
      </c>
      <c r="J23">
        <v>960</v>
      </c>
      <c r="K23">
        <v>5</v>
      </c>
      <c r="L23">
        <v>53776</v>
      </c>
      <c r="M23">
        <v>47216</v>
      </c>
      <c r="N23">
        <v>2760</v>
      </c>
      <c r="O23">
        <v>0</v>
      </c>
      <c r="P23">
        <v>3800</v>
      </c>
      <c r="Q23">
        <v>53776</v>
      </c>
      <c r="S23" s="1">
        <f t="shared" si="1"/>
        <v>600</v>
      </c>
      <c r="T23" s="1">
        <f t="shared" si="0"/>
        <v>600</v>
      </c>
    </row>
    <row r="24" spans="1:20" x14ac:dyDescent="0.4">
      <c r="A24">
        <v>21</v>
      </c>
      <c r="B24" t="s">
        <v>25</v>
      </c>
      <c r="C24">
        <v>69</v>
      </c>
      <c r="D24">
        <v>91380</v>
      </c>
      <c r="E24">
        <v>19340</v>
      </c>
      <c r="F24">
        <v>7500</v>
      </c>
      <c r="G24">
        <v>0</v>
      </c>
      <c r="H24">
        <v>1500</v>
      </c>
      <c r="I24">
        <v>0</v>
      </c>
      <c r="J24">
        <v>930</v>
      </c>
      <c r="K24">
        <v>10</v>
      </c>
      <c r="L24">
        <v>120660</v>
      </c>
      <c r="M24">
        <v>87480</v>
      </c>
      <c r="N24">
        <v>29720</v>
      </c>
      <c r="O24">
        <v>3460</v>
      </c>
      <c r="P24">
        <v>0</v>
      </c>
      <c r="Q24">
        <v>120660</v>
      </c>
      <c r="S24" s="1">
        <f t="shared" si="1"/>
        <v>0</v>
      </c>
      <c r="T24" s="1">
        <f t="shared" si="0"/>
        <v>9000</v>
      </c>
    </row>
    <row r="25" spans="1:20" x14ac:dyDescent="0.4">
      <c r="A25">
        <v>22</v>
      </c>
      <c r="B25" t="s">
        <v>3</v>
      </c>
      <c r="C25">
        <v>43</v>
      </c>
      <c r="D25">
        <v>71980</v>
      </c>
      <c r="E25">
        <v>0</v>
      </c>
      <c r="F25">
        <v>0</v>
      </c>
      <c r="G25">
        <v>0</v>
      </c>
      <c r="H25">
        <v>700</v>
      </c>
      <c r="I25">
        <v>137</v>
      </c>
      <c r="J25">
        <v>230</v>
      </c>
      <c r="K25">
        <v>5</v>
      </c>
      <c r="L25">
        <v>73052</v>
      </c>
      <c r="M25">
        <v>63222</v>
      </c>
      <c r="N25">
        <v>9830</v>
      </c>
      <c r="O25">
        <v>0</v>
      </c>
      <c r="P25">
        <v>0</v>
      </c>
      <c r="Q25">
        <v>73052</v>
      </c>
      <c r="S25" s="1">
        <f t="shared" si="1"/>
        <v>137</v>
      </c>
      <c r="T25" s="1">
        <f t="shared" si="0"/>
        <v>700</v>
      </c>
    </row>
    <row r="26" spans="1:20" x14ac:dyDescent="0.4">
      <c r="A26">
        <v>23</v>
      </c>
      <c r="B26" t="s">
        <v>20</v>
      </c>
      <c r="S26" s="1">
        <f t="shared" si="1"/>
        <v>0</v>
      </c>
      <c r="T26" s="1">
        <f t="shared" si="0"/>
        <v>0</v>
      </c>
    </row>
    <row r="27" spans="1:20" x14ac:dyDescent="0.4">
      <c r="A27">
        <v>24</v>
      </c>
      <c r="B27" t="s">
        <v>21</v>
      </c>
      <c r="C27">
        <v>5</v>
      </c>
      <c r="D27">
        <v>2020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2020</v>
      </c>
      <c r="M27">
        <v>750</v>
      </c>
      <c r="N27">
        <v>1270</v>
      </c>
      <c r="O27">
        <v>0</v>
      </c>
      <c r="P27">
        <v>0</v>
      </c>
      <c r="Q27">
        <v>2020</v>
      </c>
      <c r="S27" s="1">
        <f t="shared" si="1"/>
        <v>0</v>
      </c>
      <c r="T27" s="1">
        <f t="shared" si="0"/>
        <v>0</v>
      </c>
    </row>
    <row r="28" spans="1:20" x14ac:dyDescent="0.4">
      <c r="A28">
        <v>25</v>
      </c>
      <c r="B28" t="s">
        <v>22</v>
      </c>
      <c r="C28">
        <v>62</v>
      </c>
      <c r="D28">
        <v>75980</v>
      </c>
      <c r="E28">
        <v>2771</v>
      </c>
      <c r="F28">
        <v>0</v>
      </c>
      <c r="G28">
        <v>0</v>
      </c>
      <c r="H28">
        <v>3280</v>
      </c>
      <c r="I28">
        <v>5584</v>
      </c>
      <c r="J28">
        <v>740</v>
      </c>
      <c r="K28">
        <v>30</v>
      </c>
      <c r="L28">
        <v>88385</v>
      </c>
      <c r="M28">
        <v>70931</v>
      </c>
      <c r="N28">
        <v>17454</v>
      </c>
      <c r="O28">
        <v>0</v>
      </c>
      <c r="P28">
        <v>0</v>
      </c>
      <c r="Q28">
        <v>88385</v>
      </c>
      <c r="S28" s="1">
        <f t="shared" si="1"/>
        <v>5584</v>
      </c>
      <c r="T28" s="1">
        <f t="shared" si="0"/>
        <v>3280</v>
      </c>
    </row>
    <row r="29" spans="1:20" x14ac:dyDescent="0.4">
      <c r="A29">
        <v>26</v>
      </c>
      <c r="B29" t="s">
        <v>23</v>
      </c>
      <c r="C29">
        <v>38</v>
      </c>
      <c r="D29">
        <v>72070</v>
      </c>
      <c r="E29">
        <v>-2469</v>
      </c>
      <c r="F29">
        <v>1207</v>
      </c>
      <c r="G29">
        <v>0</v>
      </c>
      <c r="H29">
        <v>0</v>
      </c>
      <c r="I29">
        <v>0</v>
      </c>
      <c r="J29">
        <v>150</v>
      </c>
      <c r="K29">
        <v>5</v>
      </c>
      <c r="L29">
        <v>70963</v>
      </c>
      <c r="M29">
        <v>42246</v>
      </c>
      <c r="N29">
        <v>28717</v>
      </c>
      <c r="O29">
        <v>0</v>
      </c>
      <c r="P29">
        <v>0</v>
      </c>
      <c r="Q29">
        <v>70963</v>
      </c>
      <c r="S29" s="1">
        <f t="shared" si="1"/>
        <v>0</v>
      </c>
      <c r="T29" s="1">
        <f t="shared" si="0"/>
        <v>1207</v>
      </c>
    </row>
    <row r="30" spans="1:20" x14ac:dyDescent="0.4">
      <c r="A30">
        <v>27</v>
      </c>
      <c r="B30" t="s">
        <v>24</v>
      </c>
      <c r="C30">
        <v>58</v>
      </c>
      <c r="D30">
        <v>73660</v>
      </c>
      <c r="E30">
        <v>2607</v>
      </c>
      <c r="F30">
        <v>0</v>
      </c>
      <c r="G30">
        <v>0</v>
      </c>
      <c r="H30">
        <v>1500</v>
      </c>
      <c r="I30">
        <v>980</v>
      </c>
      <c r="J30">
        <v>810</v>
      </c>
      <c r="K30">
        <v>5</v>
      </c>
      <c r="L30">
        <v>79562</v>
      </c>
      <c r="M30">
        <v>70067</v>
      </c>
      <c r="N30">
        <v>9495</v>
      </c>
      <c r="O30">
        <v>0</v>
      </c>
      <c r="P30">
        <v>0</v>
      </c>
      <c r="Q30">
        <v>79562</v>
      </c>
      <c r="S30" s="1">
        <f t="shared" si="1"/>
        <v>980</v>
      </c>
      <c r="T30" s="1">
        <f t="shared" si="0"/>
        <v>1500</v>
      </c>
    </row>
    <row r="31" spans="1:20" x14ac:dyDescent="0.4">
      <c r="A31">
        <v>28</v>
      </c>
      <c r="B31" t="s">
        <v>25</v>
      </c>
      <c r="S31" s="1">
        <f t="shared" si="1"/>
        <v>0</v>
      </c>
      <c r="T31" s="1">
        <f t="shared" si="0"/>
        <v>0</v>
      </c>
    </row>
    <row r="32" spans="1:20" x14ac:dyDescent="0.4">
      <c r="B32" t="s">
        <v>26</v>
      </c>
      <c r="C32">
        <v>1268</v>
      </c>
      <c r="D32">
        <v>1553762</v>
      </c>
      <c r="E32">
        <v>51034</v>
      </c>
      <c r="F32">
        <v>114811</v>
      </c>
      <c r="G32">
        <v>300</v>
      </c>
      <c r="H32">
        <v>11480</v>
      </c>
      <c r="I32">
        <v>12841</v>
      </c>
      <c r="J32">
        <v>10060</v>
      </c>
      <c r="K32">
        <v>135</v>
      </c>
      <c r="L32">
        <v>1754423</v>
      </c>
      <c r="M32">
        <v>1212807</v>
      </c>
      <c r="N32">
        <v>491778</v>
      </c>
      <c r="O32">
        <v>3460</v>
      </c>
      <c r="P32">
        <v>46378</v>
      </c>
      <c r="Q32">
        <v>1754423</v>
      </c>
      <c r="S32" s="1">
        <f t="shared" si="1"/>
        <v>12841</v>
      </c>
      <c r="T32" s="1">
        <f t="shared" si="0"/>
        <v>126591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2C77-136D-4EBA-B3EE-C9E57D757478}">
  <dimension ref="A1:X32"/>
  <sheetViews>
    <sheetView topLeftCell="H1" zoomScale="85" zoomScaleNormal="85" workbookViewId="0">
      <selection activeCell="S1" sqref="S1:S1048576"/>
    </sheetView>
  </sheetViews>
  <sheetFormatPr defaultRowHeight="18.75" x14ac:dyDescent="0.4"/>
  <cols>
    <col min="1" max="1" width="4.625" customWidth="1"/>
    <col min="2" max="2" width="5.25" bestFit="1" customWidth="1"/>
    <col min="4" max="4" width="22.625" bestFit="1" customWidth="1"/>
    <col min="5" max="5" width="17.25" bestFit="1" customWidth="1"/>
    <col min="6" max="6" width="27.5" bestFit="1" customWidth="1"/>
    <col min="8" max="9" width="15.25" bestFit="1" customWidth="1"/>
    <col min="10" max="11" width="7.125" bestFit="1" customWidth="1"/>
    <col min="12" max="13" width="13" bestFit="1" customWidth="1"/>
    <col min="14" max="14" width="14.25" bestFit="1" customWidth="1"/>
    <col min="15" max="15" width="15.375" bestFit="1" customWidth="1"/>
    <col min="16" max="16" width="7.125" bestFit="1" customWidth="1"/>
    <col min="17" max="17" width="13" bestFit="1" customWidth="1"/>
    <col min="18" max="18" width="7.125" bestFit="1" customWidth="1"/>
    <col min="19" max="19" width="7.125" customWidth="1"/>
    <col min="20" max="21" width="9.125" bestFit="1" customWidth="1"/>
    <col min="22" max="22" width="9.875" bestFit="1" customWidth="1"/>
  </cols>
  <sheetData>
    <row r="1" spans="1:24" x14ac:dyDescent="0.4">
      <c r="A1" t="s">
        <v>0</v>
      </c>
      <c r="F1" t="s">
        <v>1</v>
      </c>
    </row>
    <row r="2" spans="1:24" x14ac:dyDescent="0.4">
      <c r="A2" t="s">
        <v>2</v>
      </c>
    </row>
    <row r="3" spans="1:24" x14ac:dyDescent="0.4">
      <c r="A3" t="s">
        <v>3</v>
      </c>
      <c r="B3" t="s">
        <v>4</v>
      </c>
      <c r="C3" t="s">
        <v>5</v>
      </c>
      <c r="D3" t="s">
        <v>6</v>
      </c>
      <c r="E3" t="s">
        <v>7</v>
      </c>
      <c r="F3" s="3" t="s">
        <v>8</v>
      </c>
      <c r="G3" s="3" t="s">
        <v>9</v>
      </c>
      <c r="H3" s="3" t="s">
        <v>10</v>
      </c>
      <c r="I3" s="2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14</v>
      </c>
      <c r="R3" t="s">
        <v>19</v>
      </c>
      <c r="S3" t="s">
        <v>30</v>
      </c>
      <c r="T3" t="s">
        <v>27</v>
      </c>
      <c r="U3" t="s">
        <v>28</v>
      </c>
      <c r="V3" t="s">
        <v>29</v>
      </c>
    </row>
    <row r="4" spans="1:24" x14ac:dyDescent="0.4">
      <c r="A4">
        <v>1</v>
      </c>
      <c r="B4" t="s">
        <v>3</v>
      </c>
      <c r="C4">
        <v>55</v>
      </c>
      <c r="D4">
        <v>77020</v>
      </c>
      <c r="E4">
        <v>0</v>
      </c>
      <c r="F4">
        <v>0</v>
      </c>
      <c r="G4">
        <v>0</v>
      </c>
      <c r="H4">
        <v>0</v>
      </c>
      <c r="I4">
        <v>0</v>
      </c>
      <c r="J4">
        <v>50</v>
      </c>
      <c r="K4">
        <v>0</v>
      </c>
      <c r="L4">
        <v>77070</v>
      </c>
      <c r="M4">
        <v>51550</v>
      </c>
      <c r="N4">
        <v>25520</v>
      </c>
      <c r="O4">
        <v>0</v>
      </c>
      <c r="P4">
        <v>0</v>
      </c>
      <c r="Q4">
        <v>77070</v>
      </c>
      <c r="S4">
        <f t="shared" ref="S4" si="0">SUM(D4:E4)+J4</f>
        <v>77070</v>
      </c>
      <c r="T4" s="1">
        <f>I4</f>
        <v>0</v>
      </c>
      <c r="U4" s="1">
        <f>F4+G4+H4</f>
        <v>0</v>
      </c>
      <c r="V4" s="1">
        <f>(S4+T4+U4)</f>
        <v>77070</v>
      </c>
      <c r="W4" t="str">
        <f t="shared" ref="W4:W32" si="1">IF(Q4=V4,"OK","NG")</f>
        <v>OK</v>
      </c>
    </row>
    <row r="5" spans="1:24" x14ac:dyDescent="0.4">
      <c r="A5">
        <v>2</v>
      </c>
      <c r="B5" t="s">
        <v>20</v>
      </c>
      <c r="C5">
        <v>90</v>
      </c>
      <c r="D5">
        <v>75760</v>
      </c>
      <c r="E5">
        <v>33</v>
      </c>
      <c r="F5">
        <v>0</v>
      </c>
      <c r="G5">
        <v>0</v>
      </c>
      <c r="H5">
        <v>0</v>
      </c>
      <c r="I5">
        <v>700</v>
      </c>
      <c r="J5">
        <v>290</v>
      </c>
      <c r="K5">
        <v>5</v>
      </c>
      <c r="L5">
        <v>76788</v>
      </c>
      <c r="M5">
        <v>63228</v>
      </c>
      <c r="N5">
        <v>13560</v>
      </c>
      <c r="O5">
        <v>0</v>
      </c>
      <c r="P5">
        <v>0</v>
      </c>
      <c r="Q5">
        <v>76788</v>
      </c>
      <c r="S5">
        <f t="shared" ref="S5:S32" si="2">SUM(D5:E5)+J5</f>
        <v>76083</v>
      </c>
      <c r="T5" s="1">
        <f>I5</f>
        <v>700</v>
      </c>
      <c r="U5" s="1">
        <f t="shared" ref="U5:U32" si="3">F5+G5+H5</f>
        <v>0</v>
      </c>
      <c r="V5" s="1">
        <f t="shared" ref="V5:V32" si="4">(S5+T5+U5)</f>
        <v>76783</v>
      </c>
      <c r="W5" t="str">
        <f t="shared" si="1"/>
        <v>NG</v>
      </c>
      <c r="X5" s="1"/>
    </row>
    <row r="6" spans="1:24" x14ac:dyDescent="0.4">
      <c r="A6">
        <v>3</v>
      </c>
      <c r="B6" t="s">
        <v>21</v>
      </c>
      <c r="C6">
        <v>3</v>
      </c>
      <c r="D6">
        <v>3790</v>
      </c>
      <c r="E6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3823</v>
      </c>
      <c r="M6">
        <v>430</v>
      </c>
      <c r="N6">
        <v>2390</v>
      </c>
      <c r="O6">
        <v>0</v>
      </c>
      <c r="P6">
        <v>1003</v>
      </c>
      <c r="Q6">
        <v>3823</v>
      </c>
      <c r="S6">
        <f t="shared" si="2"/>
        <v>3823</v>
      </c>
      <c r="T6" s="1">
        <f t="shared" ref="T6:T32" si="5">I6</f>
        <v>0</v>
      </c>
      <c r="U6" s="1">
        <f t="shared" si="3"/>
        <v>0</v>
      </c>
      <c r="V6" s="1">
        <f t="shared" si="4"/>
        <v>3823</v>
      </c>
      <c r="W6" t="str">
        <f t="shared" si="1"/>
        <v>OK</v>
      </c>
    </row>
    <row r="7" spans="1:24" x14ac:dyDescent="0.4">
      <c r="A7">
        <v>4</v>
      </c>
      <c r="B7" t="s">
        <v>22</v>
      </c>
      <c r="C7">
        <v>77</v>
      </c>
      <c r="D7">
        <v>82170</v>
      </c>
      <c r="E7">
        <v>352</v>
      </c>
      <c r="F7">
        <v>0</v>
      </c>
      <c r="G7">
        <v>0</v>
      </c>
      <c r="H7">
        <v>0</v>
      </c>
      <c r="I7">
        <v>0</v>
      </c>
      <c r="J7">
        <v>760</v>
      </c>
      <c r="K7">
        <v>5</v>
      </c>
      <c r="L7">
        <v>83287</v>
      </c>
      <c r="M7">
        <v>61537</v>
      </c>
      <c r="N7">
        <v>17740</v>
      </c>
      <c r="O7">
        <v>0</v>
      </c>
      <c r="P7">
        <v>4010</v>
      </c>
      <c r="Q7">
        <v>83287</v>
      </c>
      <c r="S7">
        <f t="shared" si="2"/>
        <v>83282</v>
      </c>
      <c r="T7" s="1">
        <f t="shared" si="5"/>
        <v>0</v>
      </c>
      <c r="U7" s="1">
        <f t="shared" si="3"/>
        <v>0</v>
      </c>
      <c r="V7" s="1">
        <f t="shared" si="4"/>
        <v>83282</v>
      </c>
      <c r="W7" t="str">
        <f t="shared" si="1"/>
        <v>NG</v>
      </c>
    </row>
    <row r="8" spans="1:24" x14ac:dyDescent="0.4">
      <c r="A8">
        <v>5</v>
      </c>
      <c r="B8" t="s">
        <v>23</v>
      </c>
      <c r="C8">
        <v>69</v>
      </c>
      <c r="D8">
        <v>69640</v>
      </c>
      <c r="E8">
        <v>77</v>
      </c>
      <c r="F8">
        <v>700</v>
      </c>
      <c r="G8">
        <v>0</v>
      </c>
      <c r="H8">
        <v>0</v>
      </c>
      <c r="I8">
        <v>0</v>
      </c>
      <c r="J8">
        <v>630</v>
      </c>
      <c r="K8">
        <v>10</v>
      </c>
      <c r="L8">
        <v>71057</v>
      </c>
      <c r="M8">
        <v>57955</v>
      </c>
      <c r="N8">
        <v>6360</v>
      </c>
      <c r="O8">
        <v>0</v>
      </c>
      <c r="P8">
        <v>6742</v>
      </c>
      <c r="Q8">
        <v>71057</v>
      </c>
      <c r="S8">
        <f t="shared" si="2"/>
        <v>70347</v>
      </c>
      <c r="T8" s="1">
        <f t="shared" si="5"/>
        <v>0</v>
      </c>
      <c r="U8" s="1">
        <f t="shared" si="3"/>
        <v>700</v>
      </c>
      <c r="V8" s="1">
        <f t="shared" si="4"/>
        <v>71047</v>
      </c>
      <c r="W8" t="str">
        <f t="shared" si="1"/>
        <v>NG</v>
      </c>
    </row>
    <row r="9" spans="1:24" x14ac:dyDescent="0.4">
      <c r="A9">
        <v>6</v>
      </c>
      <c r="B9" t="s">
        <v>24</v>
      </c>
      <c r="C9">
        <v>59</v>
      </c>
      <c r="D9">
        <v>70518</v>
      </c>
      <c r="E9">
        <v>715</v>
      </c>
      <c r="F9">
        <v>0</v>
      </c>
      <c r="G9">
        <v>0</v>
      </c>
      <c r="H9">
        <v>1500</v>
      </c>
      <c r="I9">
        <v>0</v>
      </c>
      <c r="J9">
        <v>340</v>
      </c>
      <c r="K9">
        <v>0</v>
      </c>
      <c r="L9">
        <v>73073</v>
      </c>
      <c r="M9">
        <v>47991</v>
      </c>
      <c r="N9">
        <v>21822</v>
      </c>
      <c r="O9">
        <v>0</v>
      </c>
      <c r="P9">
        <v>3260</v>
      </c>
      <c r="Q9">
        <v>73073</v>
      </c>
      <c r="S9">
        <f t="shared" si="2"/>
        <v>71573</v>
      </c>
      <c r="T9" s="1">
        <f t="shared" si="5"/>
        <v>0</v>
      </c>
      <c r="U9" s="1">
        <f t="shared" si="3"/>
        <v>1500</v>
      </c>
      <c r="V9" s="1">
        <f t="shared" si="4"/>
        <v>73073</v>
      </c>
      <c r="W9" t="str">
        <f t="shared" si="1"/>
        <v>OK</v>
      </c>
    </row>
    <row r="10" spans="1:24" x14ac:dyDescent="0.4">
      <c r="A10">
        <v>7</v>
      </c>
      <c r="B10" t="s">
        <v>25</v>
      </c>
      <c r="C10">
        <v>77</v>
      </c>
      <c r="D10">
        <v>99740</v>
      </c>
      <c r="E10">
        <v>7280</v>
      </c>
      <c r="F10">
        <v>0</v>
      </c>
      <c r="G10">
        <v>0</v>
      </c>
      <c r="H10">
        <v>0</v>
      </c>
      <c r="I10">
        <v>0</v>
      </c>
      <c r="J10">
        <v>400</v>
      </c>
      <c r="K10">
        <v>10</v>
      </c>
      <c r="L10">
        <v>107430</v>
      </c>
      <c r="M10">
        <v>76080</v>
      </c>
      <c r="N10">
        <v>31350</v>
      </c>
      <c r="O10">
        <v>0</v>
      </c>
      <c r="P10">
        <v>0</v>
      </c>
      <c r="Q10">
        <v>107430</v>
      </c>
      <c r="S10">
        <f t="shared" si="2"/>
        <v>107420</v>
      </c>
      <c r="T10" s="1">
        <f t="shared" si="5"/>
        <v>0</v>
      </c>
      <c r="U10" s="1">
        <f t="shared" si="3"/>
        <v>0</v>
      </c>
      <c r="V10" s="1">
        <f t="shared" si="4"/>
        <v>107420</v>
      </c>
      <c r="W10" t="str">
        <f t="shared" si="1"/>
        <v>NG</v>
      </c>
    </row>
    <row r="11" spans="1:24" x14ac:dyDescent="0.4">
      <c r="A11">
        <v>8</v>
      </c>
      <c r="B11" t="s">
        <v>3</v>
      </c>
      <c r="C11">
        <v>37</v>
      </c>
      <c r="D11">
        <v>47650</v>
      </c>
      <c r="E11">
        <v>10603</v>
      </c>
      <c r="F11">
        <v>50000</v>
      </c>
      <c r="G11">
        <v>0</v>
      </c>
      <c r="H11">
        <v>0</v>
      </c>
      <c r="I11">
        <v>0</v>
      </c>
      <c r="J11">
        <v>130</v>
      </c>
      <c r="K11">
        <v>5</v>
      </c>
      <c r="L11">
        <v>108388</v>
      </c>
      <c r="M11">
        <v>40098</v>
      </c>
      <c r="N11">
        <v>68290</v>
      </c>
      <c r="O11">
        <v>0</v>
      </c>
      <c r="P11">
        <v>0</v>
      </c>
      <c r="Q11">
        <v>108388</v>
      </c>
      <c r="S11">
        <f t="shared" si="2"/>
        <v>58383</v>
      </c>
      <c r="T11" s="1">
        <f t="shared" si="5"/>
        <v>0</v>
      </c>
      <c r="U11" s="1">
        <f t="shared" si="3"/>
        <v>50000</v>
      </c>
      <c r="V11" s="1">
        <f t="shared" si="4"/>
        <v>108383</v>
      </c>
      <c r="W11" t="str">
        <f t="shared" si="1"/>
        <v>NG</v>
      </c>
    </row>
    <row r="12" spans="1:24" x14ac:dyDescent="0.4">
      <c r="A12">
        <v>9</v>
      </c>
      <c r="B12" t="s">
        <v>20</v>
      </c>
      <c r="C12">
        <v>59</v>
      </c>
      <c r="D12">
        <v>50814</v>
      </c>
      <c r="E12">
        <v>1177</v>
      </c>
      <c r="F12">
        <v>297</v>
      </c>
      <c r="G12">
        <v>0</v>
      </c>
      <c r="H12">
        <v>0</v>
      </c>
      <c r="I12">
        <v>680</v>
      </c>
      <c r="J12">
        <v>680</v>
      </c>
      <c r="K12">
        <v>5</v>
      </c>
      <c r="L12">
        <v>53653</v>
      </c>
      <c r="M12">
        <v>44370</v>
      </c>
      <c r="N12">
        <v>7810</v>
      </c>
      <c r="O12">
        <v>0</v>
      </c>
      <c r="P12">
        <v>1473</v>
      </c>
      <c r="Q12">
        <v>53653</v>
      </c>
      <c r="S12">
        <f t="shared" si="2"/>
        <v>52671</v>
      </c>
      <c r="T12" s="1">
        <f t="shared" si="5"/>
        <v>680</v>
      </c>
      <c r="U12" s="1">
        <f t="shared" si="3"/>
        <v>297</v>
      </c>
      <c r="V12" s="1">
        <f t="shared" si="4"/>
        <v>53648</v>
      </c>
      <c r="W12" t="str">
        <f t="shared" si="1"/>
        <v>NG</v>
      </c>
    </row>
    <row r="13" spans="1:24" x14ac:dyDescent="0.4">
      <c r="A13">
        <v>10</v>
      </c>
      <c r="B13" t="s">
        <v>21</v>
      </c>
      <c r="C13">
        <v>5</v>
      </c>
      <c r="D13">
        <v>11240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11245</v>
      </c>
      <c r="M13">
        <v>3545</v>
      </c>
      <c r="N13">
        <v>0</v>
      </c>
      <c r="O13">
        <v>0</v>
      </c>
      <c r="P13">
        <v>7700</v>
      </c>
      <c r="Q13">
        <v>11245</v>
      </c>
      <c r="S13">
        <f t="shared" si="2"/>
        <v>11240</v>
      </c>
      <c r="T13" s="1">
        <f t="shared" si="5"/>
        <v>0</v>
      </c>
      <c r="U13" s="1">
        <f t="shared" si="3"/>
        <v>0</v>
      </c>
      <c r="V13" s="1">
        <f t="shared" si="4"/>
        <v>11240</v>
      </c>
      <c r="W13" t="str">
        <f t="shared" si="1"/>
        <v>NG</v>
      </c>
    </row>
    <row r="14" spans="1:24" x14ac:dyDescent="0.4">
      <c r="A14">
        <v>11</v>
      </c>
      <c r="B14" t="s">
        <v>22</v>
      </c>
      <c r="S14">
        <f t="shared" si="2"/>
        <v>0</v>
      </c>
      <c r="T14" s="1">
        <f t="shared" si="5"/>
        <v>0</v>
      </c>
      <c r="U14" s="1">
        <f t="shared" si="3"/>
        <v>0</v>
      </c>
      <c r="V14" s="1">
        <f t="shared" si="4"/>
        <v>0</v>
      </c>
      <c r="W14" t="str">
        <f t="shared" si="1"/>
        <v>OK</v>
      </c>
    </row>
    <row r="15" spans="1:24" x14ac:dyDescent="0.4">
      <c r="A15">
        <v>12</v>
      </c>
      <c r="B15" t="s">
        <v>23</v>
      </c>
      <c r="C15">
        <v>84</v>
      </c>
      <c r="D15">
        <v>103640</v>
      </c>
      <c r="E15">
        <v>8131</v>
      </c>
      <c r="F15">
        <v>0</v>
      </c>
      <c r="G15">
        <v>0</v>
      </c>
      <c r="H15">
        <v>0</v>
      </c>
      <c r="I15">
        <v>950</v>
      </c>
      <c r="J15">
        <v>450</v>
      </c>
      <c r="K15">
        <v>0</v>
      </c>
      <c r="L15">
        <v>113171</v>
      </c>
      <c r="M15">
        <v>90651</v>
      </c>
      <c r="N15">
        <v>22520</v>
      </c>
      <c r="O15">
        <v>0</v>
      </c>
      <c r="P15">
        <v>0</v>
      </c>
      <c r="Q15">
        <v>113171</v>
      </c>
      <c r="S15">
        <f t="shared" si="2"/>
        <v>112221</v>
      </c>
      <c r="T15" s="1">
        <f t="shared" si="5"/>
        <v>950</v>
      </c>
      <c r="U15" s="1">
        <f t="shared" si="3"/>
        <v>0</v>
      </c>
      <c r="V15" s="1">
        <f t="shared" si="4"/>
        <v>113171</v>
      </c>
      <c r="W15" t="str">
        <f t="shared" si="1"/>
        <v>OK</v>
      </c>
    </row>
    <row r="16" spans="1:24" x14ac:dyDescent="0.4">
      <c r="A16">
        <v>13</v>
      </c>
      <c r="B16" t="s">
        <v>24</v>
      </c>
      <c r="C16">
        <v>46</v>
      </c>
      <c r="D16">
        <v>55930</v>
      </c>
      <c r="E16">
        <v>110</v>
      </c>
      <c r="F16">
        <v>400</v>
      </c>
      <c r="G16">
        <v>0</v>
      </c>
      <c r="H16">
        <v>1500</v>
      </c>
      <c r="I16">
        <v>700</v>
      </c>
      <c r="J16">
        <v>100</v>
      </c>
      <c r="K16">
        <v>5</v>
      </c>
      <c r="L16">
        <v>58745</v>
      </c>
      <c r="M16">
        <v>58345</v>
      </c>
      <c r="N16">
        <v>400</v>
      </c>
      <c r="O16">
        <v>0</v>
      </c>
      <c r="P16">
        <v>0</v>
      </c>
      <c r="Q16">
        <v>58745</v>
      </c>
      <c r="S16">
        <f t="shared" si="2"/>
        <v>56140</v>
      </c>
      <c r="T16" s="1">
        <f t="shared" si="5"/>
        <v>700</v>
      </c>
      <c r="U16" s="1">
        <f t="shared" si="3"/>
        <v>1900</v>
      </c>
      <c r="V16" s="1">
        <f t="shared" si="4"/>
        <v>58740</v>
      </c>
      <c r="W16" t="str">
        <f t="shared" si="1"/>
        <v>NG</v>
      </c>
    </row>
    <row r="17" spans="1:23" x14ac:dyDescent="0.4">
      <c r="A17">
        <v>14</v>
      </c>
      <c r="B17" t="s">
        <v>25</v>
      </c>
      <c r="C17">
        <v>72</v>
      </c>
      <c r="D17">
        <v>95970</v>
      </c>
      <c r="E17">
        <v>3189</v>
      </c>
      <c r="F17">
        <v>700</v>
      </c>
      <c r="G17">
        <v>0</v>
      </c>
      <c r="H17">
        <v>0</v>
      </c>
      <c r="I17">
        <v>0</v>
      </c>
      <c r="J17">
        <v>1450</v>
      </c>
      <c r="K17">
        <v>15</v>
      </c>
      <c r="L17">
        <v>101324</v>
      </c>
      <c r="M17">
        <v>71594</v>
      </c>
      <c r="N17">
        <v>29730</v>
      </c>
      <c r="O17">
        <v>0</v>
      </c>
      <c r="P17">
        <v>0</v>
      </c>
      <c r="Q17">
        <v>101324</v>
      </c>
      <c r="S17">
        <f t="shared" si="2"/>
        <v>100609</v>
      </c>
      <c r="T17" s="1">
        <f t="shared" si="5"/>
        <v>0</v>
      </c>
      <c r="U17" s="1">
        <f t="shared" si="3"/>
        <v>700</v>
      </c>
      <c r="V17" s="1">
        <f t="shared" si="4"/>
        <v>101309</v>
      </c>
      <c r="W17" t="str">
        <f t="shared" si="1"/>
        <v>NG</v>
      </c>
    </row>
    <row r="18" spans="1:23" x14ac:dyDescent="0.4">
      <c r="A18">
        <v>15</v>
      </c>
      <c r="B18" t="s">
        <v>3</v>
      </c>
      <c r="C18">
        <v>48</v>
      </c>
      <c r="D18">
        <v>64790</v>
      </c>
      <c r="E18">
        <v>8691</v>
      </c>
      <c r="F18">
        <v>50000</v>
      </c>
      <c r="G18">
        <v>0</v>
      </c>
      <c r="H18">
        <v>0</v>
      </c>
      <c r="I18">
        <v>400</v>
      </c>
      <c r="J18">
        <v>90</v>
      </c>
      <c r="K18">
        <v>5</v>
      </c>
      <c r="L18">
        <v>123976</v>
      </c>
      <c r="M18">
        <v>43176</v>
      </c>
      <c r="N18">
        <v>80800</v>
      </c>
      <c r="O18">
        <v>0</v>
      </c>
      <c r="P18">
        <v>0</v>
      </c>
      <c r="Q18">
        <v>123976</v>
      </c>
      <c r="S18">
        <f t="shared" si="2"/>
        <v>73571</v>
      </c>
      <c r="T18" s="1">
        <f t="shared" si="5"/>
        <v>400</v>
      </c>
      <c r="U18" s="1">
        <f t="shared" si="3"/>
        <v>50000</v>
      </c>
      <c r="V18" s="1">
        <f t="shared" si="4"/>
        <v>123971</v>
      </c>
      <c r="W18" t="str">
        <f t="shared" si="1"/>
        <v>NG</v>
      </c>
    </row>
    <row r="19" spans="1:23" x14ac:dyDescent="0.4">
      <c r="A19">
        <v>16</v>
      </c>
      <c r="B19" t="s">
        <v>20</v>
      </c>
      <c r="C19">
        <v>75</v>
      </c>
      <c r="D19">
        <v>68120</v>
      </c>
      <c r="E19">
        <v>461</v>
      </c>
      <c r="F19">
        <v>0</v>
      </c>
      <c r="G19">
        <v>300</v>
      </c>
      <c r="H19">
        <v>0</v>
      </c>
      <c r="I19">
        <v>1130</v>
      </c>
      <c r="J19">
        <v>550</v>
      </c>
      <c r="K19">
        <v>0</v>
      </c>
      <c r="L19">
        <v>70561</v>
      </c>
      <c r="M19">
        <v>44081</v>
      </c>
      <c r="N19">
        <v>21910</v>
      </c>
      <c r="O19">
        <v>0</v>
      </c>
      <c r="P19">
        <v>4570</v>
      </c>
      <c r="Q19">
        <v>70561</v>
      </c>
      <c r="S19">
        <f t="shared" si="2"/>
        <v>69131</v>
      </c>
      <c r="T19" s="1">
        <f t="shared" si="5"/>
        <v>1130</v>
      </c>
      <c r="U19" s="1">
        <f t="shared" si="3"/>
        <v>300</v>
      </c>
      <c r="V19" s="1">
        <f t="shared" si="4"/>
        <v>70561</v>
      </c>
      <c r="W19" t="str">
        <f t="shared" si="1"/>
        <v>OK</v>
      </c>
    </row>
    <row r="20" spans="1:23" x14ac:dyDescent="0.4">
      <c r="A20">
        <v>17</v>
      </c>
      <c r="B20" t="s">
        <v>21</v>
      </c>
      <c r="C20">
        <v>4</v>
      </c>
      <c r="D20">
        <v>10230</v>
      </c>
      <c r="E20">
        <v>0</v>
      </c>
      <c r="F20">
        <v>1207</v>
      </c>
      <c r="G20">
        <v>0</v>
      </c>
      <c r="H20">
        <v>0</v>
      </c>
      <c r="I20">
        <v>0</v>
      </c>
      <c r="J20">
        <v>0</v>
      </c>
      <c r="K20">
        <v>0</v>
      </c>
      <c r="L20">
        <v>11437</v>
      </c>
      <c r="M20">
        <v>2237</v>
      </c>
      <c r="N20">
        <v>1610</v>
      </c>
      <c r="O20">
        <v>0</v>
      </c>
      <c r="P20">
        <v>7590</v>
      </c>
      <c r="Q20">
        <v>11437</v>
      </c>
      <c r="S20">
        <f t="shared" si="2"/>
        <v>10230</v>
      </c>
      <c r="T20" s="1">
        <f t="shared" si="5"/>
        <v>0</v>
      </c>
      <c r="U20" s="1">
        <f t="shared" si="3"/>
        <v>1207</v>
      </c>
      <c r="V20" s="1">
        <f t="shared" si="4"/>
        <v>11437</v>
      </c>
      <c r="W20" t="str">
        <f t="shared" si="1"/>
        <v>OK</v>
      </c>
    </row>
    <row r="21" spans="1:23" x14ac:dyDescent="0.4">
      <c r="A21">
        <v>18</v>
      </c>
      <c r="B21" t="s">
        <v>22</v>
      </c>
      <c r="C21">
        <v>42</v>
      </c>
      <c r="D21">
        <v>63760</v>
      </c>
      <c r="E21">
        <v>-9449</v>
      </c>
      <c r="F21">
        <v>2200</v>
      </c>
      <c r="G21">
        <v>0</v>
      </c>
      <c r="H21">
        <v>1500</v>
      </c>
      <c r="I21">
        <v>980</v>
      </c>
      <c r="J21">
        <v>90</v>
      </c>
      <c r="K21">
        <v>0</v>
      </c>
      <c r="L21">
        <v>59081</v>
      </c>
      <c r="M21">
        <v>41081</v>
      </c>
      <c r="N21">
        <v>12840</v>
      </c>
      <c r="O21">
        <v>0</v>
      </c>
      <c r="P21">
        <v>5160</v>
      </c>
      <c r="Q21">
        <v>59081</v>
      </c>
      <c r="S21">
        <f t="shared" si="2"/>
        <v>54401</v>
      </c>
      <c r="T21" s="1">
        <f t="shared" si="5"/>
        <v>980</v>
      </c>
      <c r="U21" s="1">
        <f t="shared" si="3"/>
        <v>3700</v>
      </c>
      <c r="V21" s="1">
        <f t="shared" si="4"/>
        <v>59081</v>
      </c>
      <c r="W21" t="str">
        <f t="shared" si="1"/>
        <v>OK</v>
      </c>
    </row>
    <row r="22" spans="1:23" x14ac:dyDescent="0.4">
      <c r="A22">
        <v>19</v>
      </c>
      <c r="B22" t="s">
        <v>23</v>
      </c>
      <c r="C22">
        <v>43</v>
      </c>
      <c r="D22">
        <v>64290</v>
      </c>
      <c r="E22">
        <v>-2629</v>
      </c>
      <c r="F22">
        <v>0</v>
      </c>
      <c r="G22">
        <v>0</v>
      </c>
      <c r="H22">
        <v>0</v>
      </c>
      <c r="I22">
        <v>0</v>
      </c>
      <c r="J22">
        <v>230</v>
      </c>
      <c r="K22">
        <v>5</v>
      </c>
      <c r="L22">
        <v>61896</v>
      </c>
      <c r="M22">
        <v>32946</v>
      </c>
      <c r="N22">
        <v>27880</v>
      </c>
      <c r="O22">
        <v>0</v>
      </c>
      <c r="P22">
        <v>1070</v>
      </c>
      <c r="Q22">
        <v>61896</v>
      </c>
      <c r="S22">
        <f t="shared" si="2"/>
        <v>61891</v>
      </c>
      <c r="T22" s="1">
        <f t="shared" si="5"/>
        <v>0</v>
      </c>
      <c r="U22" s="1">
        <f t="shared" si="3"/>
        <v>0</v>
      </c>
      <c r="V22" s="1">
        <f t="shared" si="4"/>
        <v>61891</v>
      </c>
      <c r="W22" t="str">
        <f t="shared" si="1"/>
        <v>NG</v>
      </c>
    </row>
    <row r="23" spans="1:23" x14ac:dyDescent="0.4">
      <c r="A23">
        <v>20</v>
      </c>
      <c r="B23" t="s">
        <v>24</v>
      </c>
      <c r="C23">
        <v>48</v>
      </c>
      <c r="D23">
        <v>51600</v>
      </c>
      <c r="E23">
        <v>11</v>
      </c>
      <c r="F23">
        <v>600</v>
      </c>
      <c r="G23">
        <v>0</v>
      </c>
      <c r="H23">
        <v>0</v>
      </c>
      <c r="I23">
        <v>600</v>
      </c>
      <c r="J23">
        <v>960</v>
      </c>
      <c r="K23">
        <v>5</v>
      </c>
      <c r="L23">
        <v>53776</v>
      </c>
      <c r="M23">
        <v>47216</v>
      </c>
      <c r="N23">
        <v>2760</v>
      </c>
      <c r="O23">
        <v>0</v>
      </c>
      <c r="P23">
        <v>3800</v>
      </c>
      <c r="Q23">
        <v>53776</v>
      </c>
      <c r="S23">
        <f t="shared" si="2"/>
        <v>52571</v>
      </c>
      <c r="T23" s="1">
        <f t="shared" si="5"/>
        <v>600</v>
      </c>
      <c r="U23" s="1">
        <f t="shared" si="3"/>
        <v>600</v>
      </c>
      <c r="V23" s="1">
        <f t="shared" si="4"/>
        <v>53771</v>
      </c>
      <c r="W23" t="str">
        <f t="shared" si="1"/>
        <v>NG</v>
      </c>
    </row>
    <row r="24" spans="1:23" x14ac:dyDescent="0.4">
      <c r="A24">
        <v>21</v>
      </c>
      <c r="B24" t="s">
        <v>25</v>
      </c>
      <c r="C24">
        <v>69</v>
      </c>
      <c r="D24">
        <v>91380</v>
      </c>
      <c r="E24">
        <v>19340</v>
      </c>
      <c r="F24">
        <v>7500</v>
      </c>
      <c r="G24">
        <v>0</v>
      </c>
      <c r="H24">
        <v>1500</v>
      </c>
      <c r="I24">
        <v>0</v>
      </c>
      <c r="J24">
        <v>930</v>
      </c>
      <c r="K24">
        <v>10</v>
      </c>
      <c r="L24">
        <v>120660</v>
      </c>
      <c r="M24">
        <v>87480</v>
      </c>
      <c r="N24">
        <v>29720</v>
      </c>
      <c r="O24">
        <v>3460</v>
      </c>
      <c r="P24">
        <v>0</v>
      </c>
      <c r="Q24">
        <v>120660</v>
      </c>
      <c r="S24">
        <f t="shared" si="2"/>
        <v>111650</v>
      </c>
      <c r="T24" s="1">
        <f t="shared" si="5"/>
        <v>0</v>
      </c>
      <c r="U24" s="1">
        <f t="shared" si="3"/>
        <v>9000</v>
      </c>
      <c r="V24" s="1">
        <f t="shared" si="4"/>
        <v>120650</v>
      </c>
      <c r="W24" t="str">
        <f t="shared" si="1"/>
        <v>NG</v>
      </c>
    </row>
    <row r="25" spans="1:23" x14ac:dyDescent="0.4">
      <c r="A25">
        <v>22</v>
      </c>
      <c r="B25" t="s">
        <v>3</v>
      </c>
      <c r="C25">
        <v>43</v>
      </c>
      <c r="D25">
        <v>71980</v>
      </c>
      <c r="E25">
        <v>0</v>
      </c>
      <c r="F25">
        <v>0</v>
      </c>
      <c r="G25">
        <v>0</v>
      </c>
      <c r="H25">
        <v>700</v>
      </c>
      <c r="I25">
        <v>137</v>
      </c>
      <c r="J25">
        <v>230</v>
      </c>
      <c r="K25">
        <v>5</v>
      </c>
      <c r="L25">
        <v>73052</v>
      </c>
      <c r="M25">
        <v>63222</v>
      </c>
      <c r="N25">
        <v>9830</v>
      </c>
      <c r="O25">
        <v>0</v>
      </c>
      <c r="P25">
        <v>0</v>
      </c>
      <c r="Q25">
        <v>73052</v>
      </c>
      <c r="S25">
        <f t="shared" si="2"/>
        <v>72210</v>
      </c>
      <c r="T25" s="1">
        <f t="shared" si="5"/>
        <v>137</v>
      </c>
      <c r="U25" s="1">
        <f t="shared" si="3"/>
        <v>700</v>
      </c>
      <c r="V25" s="1">
        <f t="shared" si="4"/>
        <v>73047</v>
      </c>
      <c r="W25" t="str">
        <f t="shared" si="1"/>
        <v>NG</v>
      </c>
    </row>
    <row r="26" spans="1:23" x14ac:dyDescent="0.4">
      <c r="A26">
        <v>23</v>
      </c>
      <c r="B26" t="s">
        <v>20</v>
      </c>
      <c r="S26">
        <f t="shared" si="2"/>
        <v>0</v>
      </c>
      <c r="T26" s="1">
        <f t="shared" si="5"/>
        <v>0</v>
      </c>
      <c r="U26" s="1">
        <f t="shared" si="3"/>
        <v>0</v>
      </c>
      <c r="V26" s="1">
        <f t="shared" si="4"/>
        <v>0</v>
      </c>
      <c r="W26" t="str">
        <f t="shared" si="1"/>
        <v>OK</v>
      </c>
    </row>
    <row r="27" spans="1:23" x14ac:dyDescent="0.4">
      <c r="A27">
        <v>24</v>
      </c>
      <c r="B27" t="s">
        <v>21</v>
      </c>
      <c r="C27">
        <v>5</v>
      </c>
      <c r="D27">
        <v>2020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2020</v>
      </c>
      <c r="M27">
        <v>750</v>
      </c>
      <c r="N27">
        <v>1270</v>
      </c>
      <c r="O27">
        <v>0</v>
      </c>
      <c r="P27">
        <v>0</v>
      </c>
      <c r="Q27">
        <v>2020</v>
      </c>
      <c r="S27">
        <f t="shared" si="2"/>
        <v>2020</v>
      </c>
      <c r="T27" s="1">
        <f t="shared" si="5"/>
        <v>0</v>
      </c>
      <c r="U27" s="1">
        <f t="shared" si="3"/>
        <v>0</v>
      </c>
      <c r="V27" s="1">
        <f t="shared" si="4"/>
        <v>2020</v>
      </c>
      <c r="W27" t="str">
        <f t="shared" si="1"/>
        <v>OK</v>
      </c>
    </row>
    <row r="28" spans="1:23" x14ac:dyDescent="0.4">
      <c r="A28">
        <v>25</v>
      </c>
      <c r="B28" t="s">
        <v>22</v>
      </c>
      <c r="C28">
        <v>62</v>
      </c>
      <c r="D28">
        <v>75980</v>
      </c>
      <c r="E28">
        <v>2771</v>
      </c>
      <c r="F28">
        <v>0</v>
      </c>
      <c r="G28">
        <v>0</v>
      </c>
      <c r="H28">
        <v>3280</v>
      </c>
      <c r="I28">
        <v>5584</v>
      </c>
      <c r="J28">
        <v>740</v>
      </c>
      <c r="K28">
        <v>30</v>
      </c>
      <c r="L28">
        <v>88385</v>
      </c>
      <c r="M28">
        <v>70931</v>
      </c>
      <c r="N28">
        <v>17454</v>
      </c>
      <c r="O28">
        <v>0</v>
      </c>
      <c r="P28">
        <v>0</v>
      </c>
      <c r="Q28">
        <v>88385</v>
      </c>
      <c r="S28">
        <f t="shared" si="2"/>
        <v>79491</v>
      </c>
      <c r="T28" s="1">
        <f t="shared" si="5"/>
        <v>5584</v>
      </c>
      <c r="U28" s="1">
        <f t="shared" si="3"/>
        <v>3280</v>
      </c>
      <c r="V28" s="1">
        <f t="shared" si="4"/>
        <v>88355</v>
      </c>
      <c r="W28" t="str">
        <f t="shared" si="1"/>
        <v>NG</v>
      </c>
    </row>
    <row r="29" spans="1:23" x14ac:dyDescent="0.4">
      <c r="A29">
        <v>26</v>
      </c>
      <c r="B29" t="s">
        <v>23</v>
      </c>
      <c r="C29">
        <v>38</v>
      </c>
      <c r="D29">
        <v>72070</v>
      </c>
      <c r="E29">
        <v>-2469</v>
      </c>
      <c r="F29">
        <v>1207</v>
      </c>
      <c r="G29">
        <v>0</v>
      </c>
      <c r="H29">
        <v>0</v>
      </c>
      <c r="I29">
        <v>0</v>
      </c>
      <c r="J29">
        <v>150</v>
      </c>
      <c r="K29">
        <v>5</v>
      </c>
      <c r="L29">
        <v>70963</v>
      </c>
      <c r="M29">
        <v>42246</v>
      </c>
      <c r="N29">
        <v>28717</v>
      </c>
      <c r="O29">
        <v>0</v>
      </c>
      <c r="P29">
        <v>0</v>
      </c>
      <c r="Q29">
        <v>70963</v>
      </c>
      <c r="S29">
        <f t="shared" si="2"/>
        <v>69751</v>
      </c>
      <c r="T29" s="1">
        <f t="shared" si="5"/>
        <v>0</v>
      </c>
      <c r="U29" s="1">
        <f t="shared" si="3"/>
        <v>1207</v>
      </c>
      <c r="V29" s="1">
        <f t="shared" si="4"/>
        <v>70958</v>
      </c>
      <c r="W29" t="str">
        <f t="shared" si="1"/>
        <v>NG</v>
      </c>
    </row>
    <row r="30" spans="1:23" x14ac:dyDescent="0.4">
      <c r="A30">
        <v>27</v>
      </c>
      <c r="B30" t="s">
        <v>24</v>
      </c>
      <c r="C30">
        <v>58</v>
      </c>
      <c r="D30">
        <v>73660</v>
      </c>
      <c r="E30">
        <v>2607</v>
      </c>
      <c r="F30">
        <v>0</v>
      </c>
      <c r="G30">
        <v>0</v>
      </c>
      <c r="H30">
        <v>1500</v>
      </c>
      <c r="I30">
        <v>980</v>
      </c>
      <c r="J30">
        <v>810</v>
      </c>
      <c r="K30">
        <v>5</v>
      </c>
      <c r="L30">
        <v>79562</v>
      </c>
      <c r="M30">
        <v>70067</v>
      </c>
      <c r="N30">
        <v>9495</v>
      </c>
      <c r="O30">
        <v>0</v>
      </c>
      <c r="P30">
        <v>0</v>
      </c>
      <c r="Q30">
        <v>79562</v>
      </c>
      <c r="S30">
        <f t="shared" si="2"/>
        <v>77077</v>
      </c>
      <c r="T30" s="1">
        <f t="shared" si="5"/>
        <v>980</v>
      </c>
      <c r="U30" s="1">
        <f t="shared" si="3"/>
        <v>1500</v>
      </c>
      <c r="V30" s="1">
        <f t="shared" si="4"/>
        <v>79557</v>
      </c>
      <c r="W30" t="str">
        <f t="shared" si="1"/>
        <v>NG</v>
      </c>
    </row>
    <row r="31" spans="1:23" x14ac:dyDescent="0.4">
      <c r="A31">
        <v>28</v>
      </c>
      <c r="B31" t="s">
        <v>25</v>
      </c>
      <c r="S31">
        <f t="shared" si="2"/>
        <v>0</v>
      </c>
      <c r="T31" s="1">
        <f t="shared" si="5"/>
        <v>0</v>
      </c>
      <c r="U31" s="1">
        <f t="shared" si="3"/>
        <v>0</v>
      </c>
      <c r="V31" s="1">
        <f t="shared" si="4"/>
        <v>0</v>
      </c>
      <c r="W31" t="str">
        <f t="shared" si="1"/>
        <v>OK</v>
      </c>
    </row>
    <row r="32" spans="1:23" x14ac:dyDescent="0.4">
      <c r="B32" t="s">
        <v>26</v>
      </c>
      <c r="C32">
        <v>1268</v>
      </c>
      <c r="D32">
        <v>1553762</v>
      </c>
      <c r="E32">
        <v>51034</v>
      </c>
      <c r="F32">
        <v>114811</v>
      </c>
      <c r="G32">
        <v>300</v>
      </c>
      <c r="H32">
        <v>11480</v>
      </c>
      <c r="I32">
        <v>12841</v>
      </c>
      <c r="J32">
        <v>10060</v>
      </c>
      <c r="K32">
        <v>135</v>
      </c>
      <c r="L32">
        <v>1754423</v>
      </c>
      <c r="M32">
        <v>1212807</v>
      </c>
      <c r="N32">
        <v>491778</v>
      </c>
      <c r="O32">
        <v>3460</v>
      </c>
      <c r="P32">
        <v>46378</v>
      </c>
      <c r="Q32">
        <v>1754423</v>
      </c>
      <c r="S32">
        <f t="shared" si="2"/>
        <v>1614856</v>
      </c>
      <c r="T32" s="1">
        <f t="shared" si="5"/>
        <v>12841</v>
      </c>
      <c r="U32" s="1">
        <f t="shared" si="3"/>
        <v>126591</v>
      </c>
      <c r="V32" s="1">
        <f t="shared" si="4"/>
        <v>1754288</v>
      </c>
      <c r="W32" t="str">
        <f t="shared" si="1"/>
        <v>NG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売上入金管理表 - コピー</vt:lpstr>
      <vt:lpstr>売上入金管理表 - コピー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PHARMY</dc:creator>
  <cp:lastModifiedBy>薬局 あやめ</cp:lastModifiedBy>
  <dcterms:created xsi:type="dcterms:W3CDTF">2026-02-27T07:58:38Z</dcterms:created>
  <dcterms:modified xsi:type="dcterms:W3CDTF">2026-03-01T00:19:18Z</dcterms:modified>
</cp:coreProperties>
</file>